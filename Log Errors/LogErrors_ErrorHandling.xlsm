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Error Handling\Log Errors\"/>
    </mc:Choice>
  </mc:AlternateContent>
  <xr:revisionPtr revIDLastSave="0" documentId="13_ncr:1_{D81F89D6-D622-411B-B35A-9D5938EFB34C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eacher's List" sheetId="1" r:id="rId1"/>
  </sheets>
  <definedNames>
    <definedName name="Categories">#REF!</definedName>
    <definedName name="ColumnTitle1">'Teacher''s List'!$A$1</definedName>
    <definedName name="ColumnTitle2">#REF!</definedName>
    <definedName name="_xlnm.Print_Titles" localSheetId="0">'Teacher''s List'!$1:$1</definedName>
  </definedNames>
  <calcPr calcId="191029"/>
</workbook>
</file>

<file path=xl/calcChain.xml><?xml version="1.0" encoding="utf-8"?>
<calcChain xmlns="http://schemas.openxmlformats.org/spreadsheetml/2006/main">
  <c r="D9" i="1" l="1"/>
  <c r="C9" i="1"/>
  <c r="D8" i="1"/>
  <c r="C8" i="1"/>
  <c r="C7" i="1"/>
  <c r="C6" i="1"/>
  <c r="D5" i="1"/>
  <c r="C5" i="1"/>
  <c r="D4" i="1"/>
  <c r="D3" i="1"/>
  <c r="C3" i="1"/>
  <c r="D2" i="1"/>
  <c r="C2" i="1"/>
  <c r="D6" i="1"/>
  <c r="D7" i="1"/>
  <c r="C4" i="1"/>
</calcChain>
</file>

<file path=xl/sharedStrings.xml><?xml version="1.0" encoding="utf-8"?>
<sst xmlns="http://schemas.openxmlformats.org/spreadsheetml/2006/main" count="30" uniqueCount="24">
  <si>
    <t>Clean drawers</t>
  </si>
  <si>
    <t>ITEM</t>
  </si>
  <si>
    <t>Sharpen pencils</t>
  </si>
  <si>
    <t>Floors mopped and waxed</t>
  </si>
  <si>
    <t>Name labels created</t>
  </si>
  <si>
    <t>Order stickers</t>
  </si>
  <si>
    <t>Grade quarter written reports</t>
  </si>
  <si>
    <t>On Hold</t>
  </si>
  <si>
    <t>Cancelled</t>
  </si>
  <si>
    <t>Overdue</t>
  </si>
  <si>
    <t>Office</t>
  </si>
  <si>
    <t>Supplies</t>
  </si>
  <si>
    <t>Phone calls</t>
  </si>
  <si>
    <t>Assessments</t>
  </si>
  <si>
    <t>Other</t>
  </si>
  <si>
    <t>STATUS</t>
  </si>
  <si>
    <t>CATEGORY</t>
  </si>
  <si>
    <t>START DATE</t>
  </si>
  <si>
    <t>DUE DATE</t>
  </si>
  <si>
    <t>Grade oral reports</t>
  </si>
  <si>
    <t>In Progress</t>
  </si>
  <si>
    <t>Email Reminder for Permission Slips</t>
  </si>
  <si>
    <t>Completed</t>
  </si>
  <si>
    <t>Status slicer is in this cell. To filter list by Status, select a status from the slicer. Press and hold CTRL to select multiple options.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</si>
</sst>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"/>
  </numFmts>
  <fonts count="7" x14ac:knownFonts="1">
    <font>
      <sz val="11"/>
      <color theme="1"/>
      <name val="Euphemia"/>
      <family val="2"/>
      <scheme val="minor"/>
    </font>
    <font>
      <sz val="11"/>
      <color theme="1"/>
      <name val="Euphemia"/>
      <family val="2"/>
      <scheme val="minor"/>
    </font>
    <font>
      <sz val="11"/>
      <color theme="0"/>
      <name val="Euphemia"/>
      <family val="2"/>
      <scheme val="minor"/>
    </font>
    <font>
      <sz val="28"/>
      <color theme="0"/>
      <name val="Franklin Gothic Medium"/>
      <family val="2"/>
      <scheme val="major"/>
    </font>
    <font>
      <sz val="11"/>
      <color theme="4"/>
      <name val="Euphemia"/>
      <family val="2"/>
      <scheme val="minor"/>
    </font>
    <font>
      <sz val="11"/>
      <color theme="1"/>
      <name val="Euphemia"/>
      <family val="2"/>
      <scheme val="minor"/>
    </font>
    <font>
      <sz val="11"/>
      <color theme="1" tint="0.24994659260841701"/>
      <name val="Euphemi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dotted">
        <color theme="7" tint="0.59996337778862885"/>
      </left>
      <right style="dotted">
        <color theme="7" tint="0.59996337778862885"/>
      </right>
      <top style="dotted">
        <color theme="7" tint="0.59996337778862885"/>
      </top>
      <bottom style="dotted">
        <color theme="7" tint="0.59996337778862885"/>
      </bottom>
      <diagonal/>
    </border>
  </borders>
  <cellStyleXfs count="9">
    <xf numFmtId="0" fontId="0" fillId="0" borderId="0">
      <alignment vertical="center" wrapText="1"/>
    </xf>
    <xf numFmtId="1" fontId="1" fillId="0" borderId="0" applyFont="0" applyFill="0" applyBorder="0" applyProtection="0">
      <alignment horizontal="center" vertical="center"/>
    </xf>
    <xf numFmtId="0" fontId="3" fillId="2" borderId="0">
      <alignment horizontal="left" vertical="center" indent="4"/>
    </xf>
    <xf numFmtId="0" fontId="1" fillId="0" borderId="0" applyNumberFormat="0" applyFont="0" applyFill="0" applyBorder="0"/>
    <xf numFmtId="0" fontId="2" fillId="0" borderId="0">
      <alignment wrapText="1"/>
    </xf>
    <xf numFmtId="14" fontId="1" fillId="0" borderId="0" applyFont="0" applyFill="0" applyBorder="0">
      <alignment horizontal="left" vertical="center" wrapText="1"/>
    </xf>
    <xf numFmtId="0" fontId="4" fillId="0" borderId="0" applyFill="0">
      <alignment vertical="center" wrapText="1"/>
    </xf>
    <xf numFmtId="0" fontId="4" fillId="0" borderId="0" applyFill="0">
      <alignment vertical="center" wrapText="1"/>
    </xf>
    <xf numFmtId="0" fontId="4" fillId="0" borderId="0" applyNumberFormat="0" applyFill="0" applyBorder="0" applyAlignment="0" applyProtection="0"/>
  </cellStyleXfs>
  <cellXfs count="7">
    <xf numFmtId="0" fontId="0" fillId="0" borderId="0" xfId="0">
      <alignment vertical="center" wrapText="1"/>
    </xf>
    <xf numFmtId="0" fontId="5" fillId="0" borderId="0" xfId="0" applyFont="1" applyAlignment="1">
      <alignment vertical="center"/>
    </xf>
    <xf numFmtId="0" fontId="5" fillId="0" borderId="0" xfId="0" applyFont="1">
      <alignment vertical="center" wrapText="1"/>
    </xf>
    <xf numFmtId="164" fontId="1" fillId="0" borderId="0" xfId="4" applyNumberFormat="1" applyFont="1" applyAlignment="1">
      <alignment wrapText="1"/>
    </xf>
    <xf numFmtId="0" fontId="6" fillId="0" borderId="1" xfId="0" applyFont="1" applyBorder="1">
      <alignment vertical="center" wrapText="1"/>
    </xf>
    <xf numFmtId="14" fontId="6" fillId="0" borderId="1" xfId="5" applyNumberFormat="1" applyFont="1" applyBorder="1" applyAlignment="1">
      <alignment horizontal="left" vertical="center" wrapText="1"/>
    </xf>
    <xf numFmtId="0" fontId="2" fillId="3" borderId="1" xfId="3" applyFont="1" applyFill="1" applyBorder="1" applyAlignment="1"/>
  </cellXfs>
  <cellStyles count="9">
    <cellStyle name="Comma" xfId="1" builtinId="3" customBuiltin="1"/>
    <cellStyle name="Date" xfId="5" xr:uid="{00000000-0005-0000-0000-000001000000}"/>
    <cellStyle name="Explanatory Text" xfId="8" builtinId="53" customBuiltin="1"/>
    <cellStyle name="Followed Hyperlink" xfId="7" builtinId="9" customBuiltin="1"/>
    <cellStyle name="Heading 1" xfId="3" builtinId="16" customBuiltin="1"/>
    <cellStyle name="Hyperlink" xfId="6" builtinId="8" customBuiltin="1"/>
    <cellStyle name="Normal" xfId="0" builtinId="0" customBuiltin="1"/>
    <cellStyle name="Note" xfId="4" builtinId="10" customBuiltin="1"/>
    <cellStyle name="Title" xfId="2" builtinId="15" customBuiltin="1"/>
  </cellStyles>
  <dxfs count="12">
    <dxf>
      <font>
        <color theme="7" tint="-0.24994659260841701"/>
      </font>
      <fill>
        <patternFill patternType="none">
          <bgColor auto="1"/>
        </patternFill>
      </fill>
    </dxf>
    <dxf>
      <font>
        <color theme="7" tint="-0.24994659260841701"/>
      </font>
      <fill>
        <patternFill patternType="none">
          <bgColor auto="1"/>
        </patternFill>
      </fill>
    </dxf>
    <dxf>
      <font>
        <strike/>
        <color theme="0" tint="-0.24994659260841701"/>
      </font>
      <fill>
        <patternFill patternType="none">
          <bgColor auto="1"/>
        </patternFill>
      </fill>
    </dxf>
    <dxf>
      <font>
        <color theme="7" tint="-0.24994659260841701"/>
      </font>
    </dxf>
    <dxf>
      <font>
        <color theme="6" tint="-0.499984740745262"/>
      </font>
    </dxf>
    <dxf>
      <font>
        <color theme="9"/>
      </font>
    </dxf>
    <dxf>
      <font>
        <color theme="0" tint="-0.24994659260841701"/>
      </font>
    </dxf>
    <dxf>
      <font>
        <color theme="8" tint="-0.24994659260841701"/>
      </font>
    </dxf>
    <dxf>
      <font>
        <b val="0"/>
        <i val="0"/>
        <color theme="1" tint="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1" tint="0.24994659260841701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sz val="11"/>
        <color theme="1"/>
        <name val="Euphemia"/>
        <scheme val="minor"/>
      </font>
      <border>
        <bottom style="thin">
          <color theme="0" tint="-0.34998626667073579"/>
        </bottom>
        <vertical/>
        <horizontal/>
      </border>
    </dxf>
    <dxf>
      <font>
        <sz val="11"/>
        <color theme="1"/>
        <name val="Euphemia"/>
        <scheme val="minor"/>
      </font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2" defaultTableStyle="Teacher's To Do List" defaultPivotStyle="PivotStyleMedium2">
    <tableStyle name="Teacher To-Do List Slicer" pivot="0" table="0" count="10" xr9:uid="{00000000-0011-0000-FFFF-FFFF00000000}">
      <tableStyleElement type="wholeTable" dxfId="11"/>
      <tableStyleElement type="headerRow" dxfId="10"/>
    </tableStyle>
    <tableStyle name="Teacher's To Do List" pivot="0" count="2" xr9:uid="{00000000-0011-0000-FFFF-FFFF01000000}">
      <tableStyleElement type="wholeTable" dxfId="9"/>
      <tableStyleElement type="headerRow" dxfId="8"/>
    </tableStyle>
  </tableStyles>
  <extLst>
    <ext xmlns:x14="http://schemas.microsoft.com/office/spreadsheetml/2009/9/main" uri="{46F421CA-312F-682f-3DD2-61675219B42D}">
      <x14:dxfs count="8">
        <dxf>
          <font>
            <color theme="0" tint="-0.14996795556505021"/>
          </font>
          <fill>
            <patternFill patternType="solid">
              <fgColor auto="1"/>
              <bgColor theme="0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auto="1"/>
              <bgColor theme="0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4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4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theme="0" tint="-0.14996795556505021"/>
              <bgColor theme="0" tint="-0.2499465926084170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0" tint="-0.249977111117893"/>
              <bgColor theme="4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0"/>
              <bgColor theme="0" tint="-0.3499862666707357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eacher To-Do List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Teacher's To Do List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Teacher's To Do List">
      <a:majorFont>
        <a:latin typeface="Franklin Gothic Medium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G9"/>
  <sheetViews>
    <sheetView showGridLines="0" tabSelected="1" zoomScaleNormal="100" workbookViewId="0">
      <selection activeCell="G4" sqref="G4"/>
    </sheetView>
  </sheetViews>
  <sheetFormatPr defaultColWidth="8.921875" defaultRowHeight="30" customHeight="1" x14ac:dyDescent="0.5"/>
  <cols>
    <col min="1" max="1" width="31.921875" style="2" customWidth="1"/>
    <col min="2" max="2" width="15.765625" style="2" customWidth="1"/>
    <col min="3" max="3" width="16.23046875" style="2" customWidth="1"/>
    <col min="4" max="5" width="15.765625" style="2" customWidth="1"/>
    <col min="6" max="6" width="2.765625" style="2" customWidth="1"/>
    <col min="7" max="7" width="20.61328125" style="2" customWidth="1"/>
    <col min="8" max="16384" width="8.921875" style="2"/>
  </cols>
  <sheetData>
    <row r="1" spans="1:7" s="1" customFormat="1" ht="42" customHeight="1" x14ac:dyDescent="0.5">
      <c r="A1" s="6" t="s">
        <v>1</v>
      </c>
      <c r="B1" s="6" t="s">
        <v>16</v>
      </c>
      <c r="C1" s="6" t="s">
        <v>17</v>
      </c>
      <c r="D1" s="6" t="s">
        <v>18</v>
      </c>
      <c r="E1" s="6" t="s">
        <v>15</v>
      </c>
    </row>
    <row r="2" spans="1:7" s="1" customFormat="1" ht="30" customHeight="1" x14ac:dyDescent="0.5">
      <c r="A2" s="4" t="s">
        <v>0</v>
      </c>
      <c r="B2" s="4" t="s">
        <v>10</v>
      </c>
      <c r="C2" s="5">
        <f ca="1">DATE(YEAR(TODAY()),MONTH(TODAY())-1,6)</f>
        <v>44233</v>
      </c>
      <c r="D2" s="5">
        <f ca="1">DATE(YEAR(TODAY()),MONTH(TODAY())-1,16)</f>
        <v>44243</v>
      </c>
      <c r="E2" s="4" t="s">
        <v>22</v>
      </c>
      <c r="G2" s="3" t="s">
        <v>23</v>
      </c>
    </row>
    <row r="3" spans="1:7" s="1" customFormat="1" ht="30" customHeight="1" x14ac:dyDescent="0.5">
      <c r="A3" s="4" t="s">
        <v>5</v>
      </c>
      <c r="B3" s="4" t="s">
        <v>11</v>
      </c>
      <c r="C3" s="5">
        <f ca="1">DATE(YEAR(TODAY()),MONTH(TODAY())-1,11)</f>
        <v>44238</v>
      </c>
      <c r="D3" s="5">
        <f ca="1">DATE(YEAR(TODAY()),MONTH(TODAY())-1,21)</f>
        <v>44248</v>
      </c>
      <c r="E3" s="4" t="s">
        <v>22</v>
      </c>
      <c r="G3" s="3"/>
    </row>
    <row r="4" spans="1:7" s="1" customFormat="1" ht="30" customHeight="1" x14ac:dyDescent="0.5">
      <c r="A4" s="4" t="s">
        <v>3</v>
      </c>
      <c r="B4" s="4" t="s">
        <v>14</v>
      </c>
      <c r="C4" s="5">
        <f ca="1">DATE(YEAR(TODAY()),MONTH(TODAY()-1),DAY(TODAY())-25)</f>
        <v>44203</v>
      </c>
      <c r="D4" s="5">
        <f ca="1">DATE(YEAR(TODAY()),MONTH(TODAY())-1,26)</f>
        <v>44253</v>
      </c>
      <c r="E4" s="4" t="s">
        <v>22</v>
      </c>
      <c r="G4" s="3"/>
    </row>
    <row r="5" spans="1:7" s="1" customFormat="1" ht="30" customHeight="1" x14ac:dyDescent="0.5">
      <c r="A5" s="4" t="s">
        <v>4</v>
      </c>
      <c r="B5" s="4" t="s">
        <v>11</v>
      </c>
      <c r="C5" s="5">
        <f ca="1">DATE(YEAR(TODAY()),MONTH(TODAY())-1,21)</f>
        <v>44248</v>
      </c>
      <c r="D5" s="5">
        <f ca="1">DATE(YEAR(TODAY()),MONTH(TODAY())-1,1)</f>
        <v>44228</v>
      </c>
      <c r="E5" s="4" t="s">
        <v>7</v>
      </c>
      <c r="G5" s="3"/>
    </row>
    <row r="6" spans="1:7" s="1" customFormat="1" ht="30" customHeight="1" x14ac:dyDescent="0.5">
      <c r="A6" s="4" t="s">
        <v>6</v>
      </c>
      <c r="B6" s="4" t="s">
        <v>13</v>
      </c>
      <c r="C6" s="5">
        <f ca="1">DATE(YEAR(TODAY()),MONTH(TODAY())-1,26)</f>
        <v>44253</v>
      </c>
      <c r="D6" s="5">
        <f ca="1">TODAY()-5</f>
        <v>44251</v>
      </c>
      <c r="E6" s="4" t="s">
        <v>9</v>
      </c>
      <c r="G6" s="3"/>
    </row>
    <row r="7" spans="1:7" s="1" customFormat="1" ht="30" customHeight="1" x14ac:dyDescent="0.5">
      <c r="A7" s="4" t="s">
        <v>21</v>
      </c>
      <c r="B7" s="4" t="s">
        <v>12</v>
      </c>
      <c r="C7" s="5">
        <f ca="1">DATE(YEAR(TODAY()),MONTH(TODAY()),1)</f>
        <v>44256</v>
      </c>
      <c r="D7" s="5">
        <f ca="1">TODAY()</f>
        <v>44256</v>
      </c>
      <c r="E7" s="4" t="s">
        <v>8</v>
      </c>
    </row>
    <row r="8" spans="1:7" s="1" customFormat="1" ht="30" customHeight="1" x14ac:dyDescent="0.5">
      <c r="A8" s="4" t="s">
        <v>19</v>
      </c>
      <c r="B8" s="4" t="s">
        <v>10</v>
      </c>
      <c r="C8" s="5">
        <f ca="1">DATE(YEAR(TODAY()),MONTH(TODAY()),7)</f>
        <v>44262</v>
      </c>
      <c r="D8" s="5">
        <f ca="1">DATE(YEAR(TODAY()),MONTH(TODAY()),17)</f>
        <v>44272</v>
      </c>
      <c r="E8" s="4" t="s">
        <v>20</v>
      </c>
    </row>
    <row r="9" spans="1:7" s="1" customFormat="1" ht="30" customHeight="1" x14ac:dyDescent="0.5">
      <c r="A9" s="4" t="s">
        <v>2</v>
      </c>
      <c r="B9" s="4" t="s">
        <v>11</v>
      </c>
      <c r="C9" s="5">
        <f ca="1">DATE(YEAR(TODAY()),MONTH(TODAY()),11)</f>
        <v>44266</v>
      </c>
      <c r="D9" s="5">
        <f ca="1">DATE(YEAR(TODAY()),MONTH(TODAY()),10)</f>
        <v>44265</v>
      </c>
      <c r="E9" s="4" t="s">
        <v>20</v>
      </c>
    </row>
  </sheetData>
  <conditionalFormatting sqref="A2:E9">
    <cfRule type="expression" dxfId="7" priority="51">
      <formula>$E2="Overdue"</formula>
    </cfRule>
    <cfRule type="expression" dxfId="6" priority="52">
      <formula>$E2="Cancelled"</formula>
    </cfRule>
    <cfRule type="expression" dxfId="5" priority="53">
      <formula>$E2="On Hold"</formula>
    </cfRule>
    <cfRule type="expression" dxfId="4" priority="54">
      <formula>$E2="Due Today"</formula>
    </cfRule>
    <cfRule type="expression" dxfId="3" priority="55">
      <formula>$E2="In Progress"</formula>
    </cfRule>
    <cfRule type="expression" dxfId="2" priority="56">
      <formula>$E2="Completed"</formula>
    </cfRule>
    <cfRule type="expression" dxfId="1" priority="57">
      <formula>(#REF!=0)*(#REF!&lt;&gt;"")*(LEN(#REF!)=0)*(($E2="")+($E2="In Progress"))</formula>
    </cfRule>
    <cfRule type="expression" dxfId="0" priority="58">
      <formula>(#REF!&lt;0)*(LEN(#REF!)=0)*(($E2="")+($E2="In Progress"))</formula>
    </cfRule>
  </conditionalFormatting>
  <printOptions horizontalCentered="1"/>
  <pageMargins left="0.5" right="0.5" top="0.5" bottom="0.5" header="0.3" footer="0.3"/>
  <pageSetup scale="64" fitToHeight="0" orientation="landscape" r:id="rId1"/>
  <headerFooter differentFirst="1">
    <oddFooter>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EE1F15-62BB-48BE-81CB-AC8B196F85B5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.xml><?xml version="1.0" encoding="utf-8"?>
<ds:datastoreItem xmlns:ds="http://schemas.openxmlformats.org/officeDocument/2006/customXml" ds:itemID="{BD68CD8B-54AC-4E86-B1AC-867DA9048D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A81423-A742-4A07-9594-5B4DB7993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Teacher's List</vt:lpstr>
      <vt:lpstr>ColumnTitle1</vt:lpstr>
      <vt:lpstr>'Teacher''s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Shan Ansari</cp:lastModifiedBy>
  <dcterms:created xsi:type="dcterms:W3CDTF">2019-06-19T10:20:02Z</dcterms:created>
  <dcterms:modified xsi:type="dcterms:W3CDTF">2021-02-28T20:03:09Z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